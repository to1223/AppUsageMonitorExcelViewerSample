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akuya\Projects\AppUsageMonitor\AppUsageMonitorExcelViewerSample\HourlyStatusComposition\"/>
    </mc:Choice>
  </mc:AlternateContent>
  <xr:revisionPtr revIDLastSave="0" documentId="13_ncr:1_{F85D6B99-6374-4071-B704-45B15A334968}" xr6:coauthVersionLast="47" xr6:coauthVersionMax="47" xr10:uidLastSave="{00000000-0000-0000-0000-000000000000}"/>
  <bookViews>
    <workbookView xWindow="-98" yWindow="-98" windowWidth="21795" windowHeight="13875" xr2:uid="{9CDE2DE9-9FFE-4BCB-8689-062F97E4CC04}"/>
  </bookViews>
  <sheets>
    <sheet name="Hourly Status Composition" sheetId="5" r:id="rId1"/>
  </sheets>
  <functionGroups builtInGroupCount="19"/>
  <definedNames>
    <definedName name="InputDate" localSheetId="0">'Hourly Status Composition'!$C$3</definedName>
    <definedName name="InputPcName" localSheetId="0">'Hourly Status Composition'!$C$4</definedName>
    <definedName name="MessageLine1" localSheetId="0">'Hourly Status Composition'!$F$3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5" l="1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9" i="5"/>
</calcChain>
</file>

<file path=xl/sharedStrings.xml><?xml version="1.0" encoding="utf-8"?>
<sst xmlns="http://schemas.openxmlformats.org/spreadsheetml/2006/main" count="17" uniqueCount="17">
  <si>
    <t>Date</t>
  </si>
  <si>
    <t>PC Name</t>
  </si>
  <si>
    <t>Down</t>
  </si>
  <si>
    <t>Locked</t>
  </si>
  <si>
    <t>Up</t>
  </si>
  <si>
    <t>Bin edge lower</t>
  </si>
  <si>
    <t>LogOff</t>
  </si>
  <si>
    <t>OffFocused</t>
  </si>
  <si>
    <t>NoOperation</t>
  </si>
  <si>
    <t>Notes:</t>
  </si>
  <si>
    <t>該当する行数 * Interval で分に換算</t>
  </si>
  <si>
    <t>Hourly Status Composition</t>
  </si>
  <si>
    <t>LogOff時間は60 - Uptime - Downtime</t>
  </si>
  <si>
    <t>Message:</t>
  </si>
  <si>
    <t>未来分は別にする</t>
  </si>
  <si>
    <t>Future</t>
  </si>
  <si>
    <t>SURFACE-PRO-9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</si>
</sst>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20" fontId="0" fillId="0" borderId="0" xfId="0" applyNumberFormat="1"/>
    <xf numFmtId="46" fontId="0" fillId="0" borderId="0" xfId="0" applyNumberFormat="1"/>
    <xf numFmtId="0" fontId="0" fillId="0" borderId="0" xfId="0" applyAlignment="1">
      <alignment horizontal="left" vertical="center"/>
    </xf>
    <xf numFmtId="0" fontId="2" fillId="0" borderId="0" xfId="0" applyFont="1" applyAlignment="1">
      <alignment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Hourly Status</a:t>
            </a:r>
            <a:r>
              <a:rPr lang="en-US" baseline="0"/>
              <a:t> </a:t>
            </a:r>
            <a:r>
              <a:rPr lang="en-US"/>
              <a:t>Composition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'Hourly Status Composition'!$E$8</c:f>
              <c:strCache>
                <c:ptCount val="1"/>
                <c:pt idx="0">
                  <c:v>Up</c:v>
                </c:pt>
              </c:strCache>
            </c:strRef>
          </c:tx>
          <c:spPr>
            <a:solidFill>
              <a:schemeClr val="accent2">
                <a:alpha val="75000"/>
              </a:schemeClr>
            </a:solidFill>
            <a:ln w="3175">
              <a:noFill/>
            </a:ln>
            <a:effectLst/>
          </c:spPr>
          <c:invertIfNegative val="0"/>
          <c:cat>
            <c:numRef>
              <c:f>'Hourly Status Composition'!$D$9:$D$32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'Hourly Status Composition'!$E$9:$E$32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25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25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2B-4B74-8A61-4E31D07658F1}"/>
            </c:ext>
          </c:extLst>
        </c:ser>
        <c:ser>
          <c:idx val="1"/>
          <c:order val="1"/>
          <c:tx>
            <c:strRef>
              <c:f>'Hourly Status Composition'!$F$8</c:f>
              <c:strCache>
                <c:ptCount val="1"/>
                <c:pt idx="0">
                  <c:v>Down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 w="3175">
              <a:noFill/>
            </a:ln>
            <a:effectLst/>
          </c:spPr>
          <c:invertIfNegative val="0"/>
          <c:cat>
            <c:numRef>
              <c:f>'Hourly Status Composition'!$D$9:$D$32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'Hourly Status Composition'!$F$9:$F$32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2B-4B74-8A61-4E31D07658F1}"/>
            </c:ext>
          </c:extLst>
        </c:ser>
        <c:ser>
          <c:idx val="2"/>
          <c:order val="2"/>
          <c:tx>
            <c:strRef>
              <c:f>'Hourly Status Composition'!$G$8</c:f>
              <c:strCache>
                <c:ptCount val="1"/>
                <c:pt idx="0">
                  <c:v>LogOff</c:v>
                </c:pt>
              </c:strCache>
            </c:strRef>
          </c:tx>
          <c:spPr>
            <a:solidFill>
              <a:schemeClr val="tx1">
                <a:lumMod val="50000"/>
                <a:lumOff val="50000"/>
                <a:alpha val="75000"/>
              </a:schemeClr>
            </a:solidFill>
            <a:ln w="3175">
              <a:noFill/>
            </a:ln>
            <a:effectLst/>
          </c:spPr>
          <c:invertIfNegative val="0"/>
          <c:cat>
            <c:numRef>
              <c:f>'Hourly Status Composition'!$D$9:$D$32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'Hourly Status Composition'!$G$9:$G$32</c:f>
              <c:numCache>
                <c:formatCode>General</c:formatCode>
                <c:ptCount val="24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2B-4B74-8A61-4E31D07658F1}"/>
            </c:ext>
          </c:extLst>
        </c:ser>
        <c:ser>
          <c:idx val="6"/>
          <c:order val="6"/>
          <c:tx>
            <c:strRef>
              <c:f>'Hourly Status Composition'!$K$8</c:f>
              <c:strCache>
                <c:ptCount val="1"/>
                <c:pt idx="0">
                  <c:v>Future</c:v>
                </c:pt>
              </c:strCache>
            </c:strRef>
          </c:tx>
          <c:spPr>
            <a:solidFill>
              <a:schemeClr val="bg1">
                <a:lumMod val="85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'Hourly Status Composition'!$D$9:$D$32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'Hourly Status Composition'!$K$9:$K$32</c:f>
              <c:numCache>
                <c:formatCode>General</c:formatCode>
                <c:ptCount val="24"/>
                <c:pt idx="18">
                  <c:v>10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07-4B5F-911C-99F4BD4F5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695876304"/>
        <c:axId val="1695872944"/>
      </c:barChart>
      <c:barChart>
        <c:barDir val="col"/>
        <c:grouping val="stacked"/>
        <c:varyColors val="0"/>
        <c:ser>
          <c:idx val="3"/>
          <c:order val="3"/>
          <c:tx>
            <c:strRef>
              <c:f>'Hourly Status Composition'!$H$8</c:f>
              <c:strCache>
                <c:ptCount val="1"/>
                <c:pt idx="0">
                  <c:v>Locked</c:v>
                </c:pt>
              </c:strCache>
            </c:strRef>
          </c:tx>
          <c:spPr>
            <a:solidFill>
              <a:srgbClr val="FFFF00">
                <a:alpha val="70000"/>
              </a:srgbClr>
            </a:solidFill>
            <a:ln>
              <a:noFill/>
            </a:ln>
            <a:effectLst/>
          </c:spPr>
          <c:invertIfNegative val="0"/>
          <c:cat>
            <c:numRef>
              <c:f>'Hourly Status Composition'!$D$9:$D$32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'Hourly Status Composition'!$H$9:$H$32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</c:v>
                </c:pt>
                <c:pt idx="11">
                  <c:v>10</c:v>
                </c:pt>
                <c:pt idx="12">
                  <c:v>55</c:v>
                </c:pt>
                <c:pt idx="13">
                  <c:v>20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2B-4B74-8A61-4E31D07658F1}"/>
            </c:ext>
          </c:extLst>
        </c:ser>
        <c:ser>
          <c:idx val="4"/>
          <c:order val="4"/>
          <c:tx>
            <c:strRef>
              <c:f>'Hourly Status Composition'!$I$8</c:f>
              <c:strCache>
                <c:ptCount val="1"/>
                <c:pt idx="0">
                  <c:v>OffFocused</c:v>
                </c:pt>
              </c:strCache>
            </c:strRef>
          </c:tx>
          <c:spPr>
            <a:solidFill>
              <a:schemeClr val="accent5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14"/>
            <c:invertIfNegative val="0"/>
            <c:bubble3D val="0"/>
            <c:spPr>
              <a:solidFill>
                <a:schemeClr val="accent5"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702B-4B74-8A61-4E31D07658F1}"/>
              </c:ext>
            </c:extLst>
          </c:dPt>
          <c:cat>
            <c:numRef>
              <c:f>'Hourly Status Composition'!$D$9:$D$32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'Hourly Status Composition'!$I$9:$I$32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2B-4B74-8A61-4E31D07658F1}"/>
            </c:ext>
          </c:extLst>
        </c:ser>
        <c:ser>
          <c:idx val="5"/>
          <c:order val="5"/>
          <c:tx>
            <c:strRef>
              <c:f>'Hourly Status Composition'!$J$8</c:f>
              <c:strCache>
                <c:ptCount val="1"/>
                <c:pt idx="0">
                  <c:v>NoOperation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'Hourly Status Composition'!$D$9:$D$32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8.3333333333333301E-2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0.33333333333333298</c:v>
                </c:pt>
                <c:pt idx="9">
                  <c:v>0.375</c:v>
                </c:pt>
                <c:pt idx="10">
                  <c:v>0.41666666666666702</c:v>
                </c:pt>
                <c:pt idx="11">
                  <c:v>0.45833333333333298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0.58333333333333304</c:v>
                </c:pt>
                <c:pt idx="15">
                  <c:v>0.625</c:v>
                </c:pt>
                <c:pt idx="16">
                  <c:v>0.66666666666666696</c:v>
                </c:pt>
                <c:pt idx="17">
                  <c:v>0.70833333333333304</c:v>
                </c:pt>
                <c:pt idx="18">
                  <c:v>0.75</c:v>
                </c:pt>
                <c:pt idx="19">
                  <c:v>0.79166666666666696</c:v>
                </c:pt>
                <c:pt idx="20">
                  <c:v>0.83333333333333304</c:v>
                </c:pt>
                <c:pt idx="21">
                  <c:v>0.875</c:v>
                </c:pt>
                <c:pt idx="22">
                  <c:v>0.91666666666666696</c:v>
                </c:pt>
                <c:pt idx="23">
                  <c:v>0.95833333333333304</c:v>
                </c:pt>
              </c:numCache>
            </c:numRef>
          </c:cat>
          <c:val>
            <c:numRef>
              <c:f>'Hourly Status Composition'!$J$9:$J$32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2B-4B74-8A61-4E31D0765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695880144"/>
        <c:axId val="1695870544"/>
      </c:barChart>
      <c:catAx>
        <c:axId val="169587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872944"/>
        <c:crosses val="autoZero"/>
        <c:auto val="1"/>
        <c:lblAlgn val="ctr"/>
        <c:lblOffset val="100"/>
        <c:noMultiLvlLbl val="0"/>
      </c:catAx>
      <c:valAx>
        <c:axId val="1695872944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Minutes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876304"/>
        <c:crosses val="autoZero"/>
        <c:crossBetween val="between"/>
        <c:minorUnit val="5"/>
      </c:valAx>
      <c:valAx>
        <c:axId val="1695870544"/>
        <c:scaling>
          <c:orientation val="minMax"/>
          <c:max val="60"/>
        </c:scaling>
        <c:delete val="1"/>
        <c:axPos val="r"/>
        <c:numFmt formatCode="General" sourceLinked="1"/>
        <c:majorTickMark val="out"/>
        <c:minorTickMark val="none"/>
        <c:tickLblPos val="nextTo"/>
        <c:crossAx val="1695880144"/>
        <c:crosses val="max"/>
        <c:crossBetween val="between"/>
      </c:valAx>
      <c:catAx>
        <c:axId val="1695880144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extTo"/>
        <c:crossAx val="1695870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519113</xdr:colOff>
      <xdr:row>9</xdr:row>
      <xdr:rowOff>85727</xdr:rowOff>
    </xdr:from>
    <xdr:to>
      <xdr:col>16</xdr:col>
      <xdr:colOff>423862</xdr:colOff>
      <xdr:row>30</xdr:row>
      <xdr:rowOff>33339</xdr:rowOff>
    </xdr:to>
    <xdr:graphicFrame macro="">
      <xdr:nvGraphicFramePr>
        <xdr:cNvPr id="4" name="HourlyStatusCompositionChart">
          <a:extLst>
            <a:ext uri="{FF2B5EF4-FFF2-40B4-BE49-F238E27FC236}">
              <a16:creationId xmlns:a16="http://schemas.microsoft.com/office/drawing/2014/main" id="{A2D47C2D-E45B-3214-D333-01E7D3A312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FBB2D-4A12-4731-99AC-43597EC241C1}">
  <sheetPr codeName="Sheet5"/>
  <dimension ref="A1:N32"/>
  <sheetViews>
    <sheetView showGridLines="0" tabSelected="1" workbookViewId="0">
      <selection activeCell="C5" sqref="C5"/>
    </sheetView>
  </sheetViews>
  <sheetFormatPr defaultRowHeight="14.25" x14ac:dyDescent="0.45"/>
  <sheetData>
    <row r="1" spans="1:14" ht="21" x14ac:dyDescent="0.65">
      <c r="A1" s="1" t="s">
        <v>11</v>
      </c>
    </row>
    <row r="3" spans="1:14" x14ac:dyDescent="0.45">
      <c r="B3" s="5" t="s">
        <v>0</v>
      </c>
      <c r="C3" s="6">
        <v>45459</v>
      </c>
      <c r="D3" s="6"/>
      <c r="E3" s="5" t="s">
        <v>13</v>
      </c>
      <c r="M3" t="s">
        <v>9</v>
      </c>
      <c r="N3" t="s">
        <v>10</v>
      </c>
    </row>
    <row r="4" spans="1:14" x14ac:dyDescent="0.45">
      <c r="B4" s="5" t="s">
        <v>1</v>
      </c>
      <c r="C4" s="4" t="s">
        <v>16</v>
      </c>
      <c r="D4" s="4"/>
      <c r="E4" s="7"/>
      <c r="N4" t="s">
        <v>12</v>
      </c>
    </row>
    <row r="5" spans="1:14" x14ac:dyDescent="0.45">
      <c r="C5" s="2"/>
    </row>
    <row r="6" spans="1:14" x14ac:dyDescent="0.45">
      <c r="C6" s="3"/>
      <c r="E6" t="s">
        <v>14</v>
      </c>
    </row>
    <row r="8" spans="1:14" x14ac:dyDescent="0.45">
      <c r="D8" t="s">
        <v>5</v>
      </c>
      <c r="E8" t="s">
        <v>4</v>
      </c>
      <c r="F8" t="s">
        <v>2</v>
      </c>
      <c r="G8" t="s">
        <v>6</v>
      </c>
      <c r="H8" t="s">
        <v>3</v>
      </c>
      <c r="I8" t="s">
        <v>7</v>
      </c>
      <c r="J8" t="s">
        <v>8</v>
      </c>
      <c r="K8" t="s">
        <v>15</v>
      </c>
    </row>
    <row r="9" spans="1:14" x14ac:dyDescent="0.45">
      <c r="D9" s="2">
        <v>0</v>
      </c>
      <c r="E9">
        <v>0</v>
      </c>
      <c r="F9">
        <v>0</v>
      </c>
      <c r="G9">
        <f>60-E9-F9-K9</f>
        <v>60</v>
      </c>
      <c r="H9">
        <v>0</v>
      </c>
      <c r="I9">
        <v>0</v>
      </c>
      <c r="J9">
        <v>0</v>
      </c>
    </row>
    <row r="10" spans="1:14" x14ac:dyDescent="0.45">
      <c r="D10" s="2">
        <v>4.1666666666666664E-2</v>
      </c>
      <c r="E10">
        <v>0</v>
      </c>
      <c r="F10">
        <v>0</v>
      </c>
      <c r="G10">
        <f t="shared" ref="G10:G32" si="0">60-E10-F10-K10</f>
        <v>60</v>
      </c>
      <c r="H10">
        <v>0</v>
      </c>
      <c r="I10">
        <v>0</v>
      </c>
      <c r="J10">
        <v>0</v>
      </c>
    </row>
    <row r="11" spans="1:14" x14ac:dyDescent="0.45">
      <c r="D11" s="2">
        <v>8.3333333333333301E-2</v>
      </c>
      <c r="E11">
        <v>0</v>
      </c>
      <c r="F11">
        <v>0</v>
      </c>
      <c r="G11">
        <f t="shared" si="0"/>
        <v>60</v>
      </c>
      <c r="H11">
        <v>0</v>
      </c>
      <c r="I11">
        <v>0</v>
      </c>
      <c r="J11">
        <v>0</v>
      </c>
    </row>
    <row r="12" spans="1:14" x14ac:dyDescent="0.45">
      <c r="D12" s="2">
        <v>0.125</v>
      </c>
      <c r="E12">
        <v>0</v>
      </c>
      <c r="F12">
        <v>0</v>
      </c>
      <c r="G12">
        <f t="shared" si="0"/>
        <v>60</v>
      </c>
      <c r="H12">
        <v>0</v>
      </c>
      <c r="I12">
        <v>0</v>
      </c>
      <c r="J12">
        <v>0</v>
      </c>
    </row>
    <row r="13" spans="1:14" x14ac:dyDescent="0.45">
      <c r="D13" s="2">
        <v>0.16666666666666699</v>
      </c>
      <c r="E13">
        <v>0</v>
      </c>
      <c r="F13">
        <v>0</v>
      </c>
      <c r="G13">
        <f t="shared" si="0"/>
        <v>60</v>
      </c>
      <c r="H13">
        <v>0</v>
      </c>
      <c r="I13">
        <v>0</v>
      </c>
      <c r="J13">
        <v>0</v>
      </c>
    </row>
    <row r="14" spans="1:14" x14ac:dyDescent="0.45">
      <c r="D14" s="2">
        <v>0.20833333333333301</v>
      </c>
      <c r="E14">
        <v>0</v>
      </c>
      <c r="F14">
        <v>0</v>
      </c>
      <c r="G14">
        <f t="shared" si="0"/>
        <v>60</v>
      </c>
      <c r="H14">
        <v>0</v>
      </c>
      <c r="I14">
        <v>0</v>
      </c>
      <c r="J14">
        <v>0</v>
      </c>
    </row>
    <row r="15" spans="1:14" x14ac:dyDescent="0.45">
      <c r="D15" s="2">
        <v>0.25</v>
      </c>
      <c r="E15">
        <v>0</v>
      </c>
      <c r="F15">
        <v>0</v>
      </c>
      <c r="G15">
        <f t="shared" si="0"/>
        <v>60</v>
      </c>
      <c r="H15">
        <v>0</v>
      </c>
      <c r="I15">
        <v>0</v>
      </c>
      <c r="J15">
        <v>0</v>
      </c>
    </row>
    <row r="16" spans="1:14" x14ac:dyDescent="0.45">
      <c r="D16" s="2">
        <v>0.29166666666666702</v>
      </c>
      <c r="E16">
        <v>0</v>
      </c>
      <c r="F16">
        <v>0</v>
      </c>
      <c r="G16">
        <f t="shared" si="0"/>
        <v>60</v>
      </c>
      <c r="H16">
        <v>0</v>
      </c>
      <c r="I16">
        <v>0</v>
      </c>
      <c r="J16">
        <v>0</v>
      </c>
    </row>
    <row r="17" spans="4:11" x14ac:dyDescent="0.45">
      <c r="D17" s="2">
        <v>0.33333333333333298</v>
      </c>
      <c r="E17">
        <v>0</v>
      </c>
      <c r="F17">
        <v>0</v>
      </c>
      <c r="G17">
        <f t="shared" si="0"/>
        <v>60</v>
      </c>
      <c r="H17">
        <v>0</v>
      </c>
      <c r="I17">
        <v>0</v>
      </c>
      <c r="J17">
        <v>0</v>
      </c>
    </row>
    <row r="18" spans="4:11" x14ac:dyDescent="0.45">
      <c r="D18" s="2">
        <v>0.375</v>
      </c>
      <c r="E18">
        <v>0</v>
      </c>
      <c r="F18">
        <v>0</v>
      </c>
      <c r="G18">
        <f t="shared" si="0"/>
        <v>60</v>
      </c>
      <c r="H18">
        <v>0</v>
      </c>
      <c r="I18">
        <v>0</v>
      </c>
      <c r="J18">
        <v>0</v>
      </c>
    </row>
    <row r="19" spans="4:11" x14ac:dyDescent="0.45">
      <c r="D19" s="2">
        <v>0.41666666666666702</v>
      </c>
      <c r="E19">
        <v>25</v>
      </c>
      <c r="F19">
        <v>30</v>
      </c>
      <c r="G19">
        <f t="shared" si="0"/>
        <v>5</v>
      </c>
      <c r="H19">
        <v>10</v>
      </c>
      <c r="I19">
        <v>0</v>
      </c>
      <c r="J19">
        <v>5</v>
      </c>
    </row>
    <row r="20" spans="4:11" x14ac:dyDescent="0.45">
      <c r="D20" s="2">
        <v>0.45833333333333298</v>
      </c>
      <c r="E20">
        <v>60</v>
      </c>
      <c r="F20">
        <v>0</v>
      </c>
      <c r="G20">
        <f t="shared" si="0"/>
        <v>0</v>
      </c>
      <c r="H20">
        <v>10</v>
      </c>
      <c r="I20">
        <v>0</v>
      </c>
      <c r="J20">
        <v>5</v>
      </c>
    </row>
    <row r="21" spans="4:11" x14ac:dyDescent="0.45">
      <c r="D21" s="2">
        <v>0.5</v>
      </c>
      <c r="E21">
        <v>60</v>
      </c>
      <c r="F21">
        <v>0</v>
      </c>
      <c r="G21">
        <f t="shared" si="0"/>
        <v>0</v>
      </c>
      <c r="H21">
        <v>55</v>
      </c>
      <c r="I21">
        <v>0</v>
      </c>
      <c r="J21">
        <v>5</v>
      </c>
    </row>
    <row r="22" spans="4:11" x14ac:dyDescent="0.45">
      <c r="D22" s="2">
        <v>0.54166666666666696</v>
      </c>
      <c r="E22">
        <v>60</v>
      </c>
      <c r="F22">
        <v>0</v>
      </c>
      <c r="G22">
        <f t="shared" si="0"/>
        <v>0</v>
      </c>
      <c r="H22">
        <v>20</v>
      </c>
      <c r="I22">
        <v>0</v>
      </c>
      <c r="J22">
        <v>5</v>
      </c>
    </row>
    <row r="23" spans="4:11" x14ac:dyDescent="0.45">
      <c r="D23" s="2">
        <v>0.58333333333333304</v>
      </c>
      <c r="E23">
        <v>60</v>
      </c>
      <c r="F23">
        <v>0</v>
      </c>
      <c r="G23">
        <f t="shared" si="0"/>
        <v>0</v>
      </c>
      <c r="H23">
        <v>5</v>
      </c>
      <c r="I23">
        <v>20</v>
      </c>
      <c r="J23">
        <v>0</v>
      </c>
    </row>
    <row r="24" spans="4:11" x14ac:dyDescent="0.45">
      <c r="D24" s="2">
        <v>0.625</v>
      </c>
      <c r="E24">
        <v>60</v>
      </c>
      <c r="F24">
        <v>0</v>
      </c>
      <c r="G24">
        <f t="shared" si="0"/>
        <v>0</v>
      </c>
      <c r="H24">
        <v>5</v>
      </c>
      <c r="I24">
        <v>20</v>
      </c>
      <c r="J24">
        <v>0</v>
      </c>
    </row>
    <row r="25" spans="4:11" x14ac:dyDescent="0.45">
      <c r="D25" s="2">
        <v>0.66666666666666696</v>
      </c>
      <c r="E25">
        <v>60</v>
      </c>
      <c r="F25">
        <v>0</v>
      </c>
      <c r="G25">
        <f t="shared" si="0"/>
        <v>0</v>
      </c>
      <c r="H25">
        <v>5</v>
      </c>
      <c r="I25">
        <v>0</v>
      </c>
      <c r="J25">
        <v>0</v>
      </c>
    </row>
    <row r="26" spans="4:11" x14ac:dyDescent="0.45">
      <c r="D26" s="2">
        <v>0.70833333333333304</v>
      </c>
      <c r="E26">
        <v>60</v>
      </c>
      <c r="F26">
        <v>0</v>
      </c>
      <c r="G26">
        <f t="shared" si="0"/>
        <v>0</v>
      </c>
      <c r="H26">
        <v>5</v>
      </c>
      <c r="I26">
        <v>0</v>
      </c>
      <c r="J26">
        <v>0</v>
      </c>
    </row>
    <row r="27" spans="4:11" x14ac:dyDescent="0.45">
      <c r="D27" s="2">
        <v>0.75</v>
      </c>
      <c r="E27">
        <v>25</v>
      </c>
      <c r="F27">
        <v>20</v>
      </c>
      <c r="G27">
        <f t="shared" si="0"/>
        <v>5</v>
      </c>
      <c r="H27">
        <v>5</v>
      </c>
      <c r="I27">
        <v>0</v>
      </c>
      <c r="J27">
        <v>0</v>
      </c>
      <c r="K27">
        <v>10</v>
      </c>
    </row>
    <row r="28" spans="4:11" x14ac:dyDescent="0.45">
      <c r="D28" s="2">
        <v>0.79166666666666696</v>
      </c>
      <c r="E28">
        <v>0</v>
      </c>
      <c r="F28">
        <v>0</v>
      </c>
      <c r="G28">
        <f t="shared" si="0"/>
        <v>0</v>
      </c>
      <c r="H28">
        <v>0</v>
      </c>
      <c r="I28">
        <v>0</v>
      </c>
      <c r="J28">
        <v>0</v>
      </c>
      <c r="K28">
        <v>60</v>
      </c>
    </row>
    <row r="29" spans="4:11" x14ac:dyDescent="0.45">
      <c r="D29" s="2">
        <v>0.83333333333333304</v>
      </c>
      <c r="E29">
        <v>0</v>
      </c>
      <c r="F29">
        <v>0</v>
      </c>
      <c r="G29">
        <f t="shared" si="0"/>
        <v>0</v>
      </c>
      <c r="H29">
        <v>0</v>
      </c>
      <c r="I29">
        <v>0</v>
      </c>
      <c r="J29">
        <v>0</v>
      </c>
      <c r="K29">
        <v>60</v>
      </c>
    </row>
    <row r="30" spans="4:11" x14ac:dyDescent="0.45">
      <c r="D30" s="2">
        <v>0.875</v>
      </c>
      <c r="E30">
        <v>0</v>
      </c>
      <c r="F30">
        <v>0</v>
      </c>
      <c r="G30">
        <f t="shared" si="0"/>
        <v>0</v>
      </c>
      <c r="H30">
        <v>0</v>
      </c>
      <c r="I30">
        <v>0</v>
      </c>
      <c r="J30">
        <v>0</v>
      </c>
      <c r="K30">
        <v>60</v>
      </c>
    </row>
    <row r="31" spans="4:11" x14ac:dyDescent="0.45">
      <c r="D31" s="2">
        <v>0.91666666666666696</v>
      </c>
      <c r="E31">
        <v>0</v>
      </c>
      <c r="F31">
        <v>0</v>
      </c>
      <c r="G31">
        <f t="shared" si="0"/>
        <v>0</v>
      </c>
      <c r="H31">
        <v>0</v>
      </c>
      <c r="I31">
        <v>0</v>
      </c>
      <c r="J31">
        <v>0</v>
      </c>
      <c r="K31">
        <v>60</v>
      </c>
    </row>
    <row r="32" spans="4:11" x14ac:dyDescent="0.45">
      <c r="D32" s="2">
        <v>0.95833333333333304</v>
      </c>
      <c r="E32">
        <v>0</v>
      </c>
      <c r="F32">
        <v>0</v>
      </c>
      <c r="G32">
        <f t="shared" si="0"/>
        <v>0</v>
      </c>
      <c r="H32">
        <v>0</v>
      </c>
      <c r="I32">
        <v>0</v>
      </c>
      <c r="J32">
        <v>0</v>
      </c>
      <c r="K32">
        <v>60</v>
      </c>
    </row>
  </sheetData>
  <dataConsolidate/>
  <mergeCells count="2">
    <mergeCell ref="C3:D3"/>
    <mergeCell ref="C4:D4"/>
  </mergeCells>
  <dataValidations count="1">
    <dataValidation type="list" allowBlank="1" showInputMessage="1" sqref="C4" xr:uid="{48593436-132E-4B9B-B8EF-FCB48C085C56}">
      <formula1>"SURFACE-PRO-9,SURFACE-PRO-10,SURFACE-PRO-11,"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Hourly Status Composition</vt:lpstr>
      <vt:lpstr>'Hourly Status Composition'!InputDate</vt:lpstr>
      <vt:lpstr>'Hourly Status Composition'!InputPcName</vt:lpstr>
      <vt:lpstr>'Hourly Status Composition'!MessageLine1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Takuya Omura</dc:creator>
  <cp:lastModifiedBy>Takuya Omura</cp:lastModifiedBy>
  <dcterms:created xsi:type="dcterms:W3CDTF">2024-06-02T15:31:58Z</dcterms:created>
  <dcterms:modified xsi:type="dcterms:W3CDTF">2024-06-18T13:28:29Z</dcterms:modified>
</cp:coreProperties>
</file>